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quest" sheetId="1" state="visible" r:id="rId1"/>
  </sheets>
  <definedNames>
    <definedName name="_xlnm.Print_Titles" localSheetId="0">'Purchase Request'!$6:$6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/>
      <bottom style="medium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4" fontId="4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0" fillId="0" borderId="2" pivotButton="0" quotePrefix="0" xfId="0"/>
    <xf numFmtId="0" fontId="2" fillId="0" borderId="2" pivotButton="0" quotePrefix="0" xfId="0"/>
    <xf numFmtId="164" fontId="2" fillId="0" borderId="2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Purchase request</author>
  </authors>
  <commentList>
    <comment ref="E7" authorId="0" shapeId="0">
      <text>
        <t>Unit costs read from the 8020.net shopping cart on 2026-10-06 (logged-in list pricing).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78" customWidth="1" min="2" max="2"/>
    <col width="10" customWidth="1" min="3" max="3"/>
    <col width="7" customWidth="1" min="4" max="4"/>
    <col width="16" customWidth="1" min="5" max="5"/>
    <col width="14" customWidth="1" min="6" max="6"/>
  </cols>
  <sheetData>
    <row r="1">
      <c r="A1" s="1" t="inlineStr">
        <is>
          <t>Purchase Request: Gantry Stand Materials (bench box + wheeled cart)</t>
        </is>
      </c>
    </row>
    <row r="2">
      <c r="A2" s="2" t="inlineStr">
        <is>
          <t>Vendor</t>
        </is>
      </c>
      <c r="B2" s="3" t="inlineStr">
        <is>
          <t>80/20 Inc., 1701 South 400 East, Columbia City, IN 46725 (https://8020.net)</t>
        </is>
      </c>
    </row>
    <row r="3">
      <c r="A3" s="2" t="inlineStr">
        <is>
          <t>Pricing</t>
        </is>
      </c>
      <c r="B3" s="3" t="inlineStr">
        <is>
          <t>80/20 online list prices as shown in the 8020.net cart on 2026-10-06</t>
        </is>
      </c>
    </row>
    <row r="4">
      <c r="A4" s="2" t="inlineStr">
        <is>
          <t>Saved order</t>
        </is>
      </c>
      <c r="B4" s="3" t="inlineStr">
        <is>
          <t>8020.net wish list "Gantry stand (bench box + wheeled cart)": https://8020.net/wishlist/index/index/wishlist_id/184227/</t>
        </is>
      </c>
    </row>
    <row r="6">
      <c r="A6" s="4" t="inlineStr">
        <is>
          <t>Line</t>
        </is>
      </c>
      <c r="B6" s="4" t="inlineStr">
        <is>
          <t>Description</t>
        </is>
      </c>
      <c r="C6" s="4" t="inlineStr">
        <is>
          <t>Part No.</t>
        </is>
      </c>
      <c r="D6" s="4" t="inlineStr">
        <is>
          <t>Qty</t>
        </is>
      </c>
      <c r="E6" s="4" t="inlineStr">
        <is>
          <t>Est. Unit Cost ($)</t>
        </is>
      </c>
      <c r="F6" s="4" t="inlineStr">
        <is>
          <t>Extended ($)</t>
        </is>
      </c>
    </row>
    <row r="7">
      <c r="A7" s="5" t="n">
        <v>1</v>
      </c>
      <c r="B7" s="6" t="inlineStr">
        <is>
          <t>1010 T-slotted aluminum profile, 1.00 x 1.00 in, four open T-slots, cut to 24.00 in (price includes $3.00 cut charge)</t>
        </is>
      </c>
      <c r="C7" s="5" t="inlineStr">
        <is>
          <t>1010</t>
        </is>
      </c>
      <c r="D7" s="7" t="n">
        <v>2</v>
      </c>
      <c r="E7" s="8" t="n">
        <v>13.8</v>
      </c>
      <c r="F7" s="9">
        <f>D7*E7</f>
        <v/>
      </c>
    </row>
    <row r="8">
      <c r="A8" s="5" t="n">
        <v>2</v>
      </c>
      <c r="B8" s="6" t="inlineStr">
        <is>
          <t>1010 T-slotted aluminum profile, 1.00 x 1.00 in, four open T-slots, cut to 22.00 in (price includes $3.00 cut charge)</t>
        </is>
      </c>
      <c r="C8" s="5" t="inlineStr">
        <is>
          <t>1010</t>
        </is>
      </c>
      <c r="D8" s="7" t="n">
        <v>5</v>
      </c>
      <c r="E8" s="8" t="n">
        <v>12.9</v>
      </c>
      <c r="F8" s="9">
        <f>D8*E8</f>
        <v/>
      </c>
    </row>
    <row r="9">
      <c r="A9" s="5" t="n">
        <v>3</v>
      </c>
      <c r="B9" s="6" t="inlineStr">
        <is>
          <t>1010 T-slotted aluminum profile, 1.00 x 1.00 in, four open T-slots, cut to 20.00 in (price includes $3.00 cut charge)</t>
        </is>
      </c>
      <c r="C9" s="5" t="inlineStr">
        <is>
          <t>1010</t>
        </is>
      </c>
      <c r="D9" s="7" t="n">
        <v>8</v>
      </c>
      <c r="E9" s="8" t="n">
        <v>12</v>
      </c>
      <c r="F9" s="9">
        <f>D9*E9</f>
        <v/>
      </c>
    </row>
    <row r="10">
      <c r="A10" s="5" t="n">
        <v>4</v>
      </c>
      <c r="B10" s="6" t="inlineStr">
        <is>
          <t>1010 T-slotted aluminum profile, 1.00 x 1.00 in, four open T-slots, cut to 45.71 in (price includes $3.00 cut charge)</t>
        </is>
      </c>
      <c r="C10" s="5" t="inlineStr">
        <is>
          <t>1010</t>
        </is>
      </c>
      <c r="D10" s="7" t="n">
        <v>1</v>
      </c>
      <c r="E10" s="8" t="n">
        <v>23.57</v>
      </c>
      <c r="F10" s="9">
        <f>D10*E10</f>
        <v/>
      </c>
    </row>
    <row r="11">
      <c r="A11" s="5" t="n">
        <v>5</v>
      </c>
      <c r="B11" s="6" t="inlineStr">
        <is>
          <t>1010 T-slotted aluminum profile, 1.00 x 1.00 in, four open T-slots, cut to 38.00 in (price includes $3.00 cut charge)</t>
        </is>
      </c>
      <c r="C11" s="5" t="inlineStr">
        <is>
          <t>1010</t>
        </is>
      </c>
      <c r="D11" s="7" t="n">
        <v>2</v>
      </c>
      <c r="E11" s="8" t="n">
        <v>20.1</v>
      </c>
      <c r="F11" s="9">
        <f>D11*E11</f>
        <v/>
      </c>
    </row>
    <row r="12">
      <c r="A12" s="5" t="n">
        <v>6</v>
      </c>
      <c r="B12" s="6" t="inlineStr">
        <is>
          <t>1010 T-slotted aluminum profile, 1.00 x 1.00 in, four open T-slots, cut to 13.00 in (price includes $3.00 cut charge)</t>
        </is>
      </c>
      <c r="C12" s="5" t="inlineStr">
        <is>
          <t>1010</t>
        </is>
      </c>
      <c r="D12" s="7" t="n">
        <v>1</v>
      </c>
      <c r="E12" s="8" t="n">
        <v>8.85</v>
      </c>
      <c r="F12" s="9">
        <f>D12*E12</f>
        <v/>
      </c>
    </row>
    <row r="13">
      <c r="A13" s="5" t="n">
        <v>7</v>
      </c>
      <c r="B13" s="6" t="inlineStr">
        <is>
          <t>2020 T-slotted aluminum profile, 2.00 x 2.00 in, eight open T-slots, cut to 4.71 in (price includes $3.18 cut charge)</t>
        </is>
      </c>
      <c r="C13" s="5" t="inlineStr">
        <is>
          <t>2020</t>
        </is>
      </c>
      <c r="D13" s="7" t="n">
        <v>4</v>
      </c>
      <c r="E13" s="8" t="n">
        <v>8.5</v>
      </c>
      <c r="F13" s="9">
        <f>D13*E13</f>
        <v/>
      </c>
    </row>
    <row r="14">
      <c r="A14" s="5" t="n">
        <v>8</v>
      </c>
      <c r="B14" s="6" t="inlineStr">
        <is>
          <t>2020 T-slotted aluminum profile, 2.00 x 2.00 in, eight open T-slots, cut to 16.07 in (price includes $3.18 cut charge)</t>
        </is>
      </c>
      <c r="C14" s="5" t="inlineStr">
        <is>
          <t>2020</t>
        </is>
      </c>
      <c r="D14" s="7" t="n">
        <v>4</v>
      </c>
      <c r="E14" s="8" t="n">
        <v>21.34</v>
      </c>
      <c r="F14" s="9">
        <f>D14*E14</f>
        <v/>
      </c>
    </row>
    <row r="15">
      <c r="A15" s="5" t="n">
        <v>9</v>
      </c>
      <c r="B15" s="6" t="inlineStr">
        <is>
          <t>10 Series 2-hole gusseted inside corner bracket</t>
        </is>
      </c>
      <c r="C15" s="5" t="inlineStr">
        <is>
          <t>4132</t>
        </is>
      </c>
      <c r="D15" s="7" t="n">
        <v>48</v>
      </c>
      <c r="E15" s="8" t="n">
        <v>7.11</v>
      </c>
      <c r="F15" s="9">
        <f>D15*E15</f>
        <v/>
      </c>
    </row>
    <row r="16">
      <c r="A16" s="5" t="n">
        <v>10</v>
      </c>
      <c r="B16" s="6" t="inlineStr">
        <is>
          <t>Bolt assembly: 1/4-20 x .375" black button head socket cap screw with slide-in economy T-nut</t>
        </is>
      </c>
      <c r="C16" s="5" t="inlineStr">
        <is>
          <t>3416</t>
        </is>
      </c>
      <c r="D16" s="7" t="n">
        <v>108</v>
      </c>
      <c r="E16" s="8" t="n">
        <v>0.71</v>
      </c>
      <c r="F16" s="9">
        <f>D16*E16</f>
        <v/>
      </c>
    </row>
    <row r="17">
      <c r="A17" s="5" t="n">
        <v>11</v>
      </c>
      <c r="B17" s="6" t="inlineStr">
        <is>
          <t>Flange mount swivel caster, 5 in soft rubber wheel, top brake, 300 lb rating</t>
        </is>
      </c>
      <c r="C17" s="5" t="inlineStr">
        <is>
          <t>2323</t>
        </is>
      </c>
      <c r="D17" s="7" t="n">
        <v>4</v>
      </c>
      <c r="E17" s="8" t="n">
        <v>42.78</v>
      </c>
      <c r="F17" s="9">
        <f>D17*E17</f>
        <v/>
      </c>
    </row>
    <row r="18">
      <c r="A18" s="5" t="n">
        <v>12</v>
      </c>
      <c r="B18" s="6" t="inlineStr">
        <is>
          <t>10 Series flange mount caster base plate</t>
        </is>
      </c>
      <c r="C18" s="5" t="inlineStr">
        <is>
          <t>2419</t>
        </is>
      </c>
      <c r="D18" s="7" t="n">
        <v>4</v>
      </c>
      <c r="E18" s="8" t="n">
        <v>28.46</v>
      </c>
      <c r="F18" s="9">
        <f>D18*E18</f>
        <v/>
      </c>
    </row>
    <row r="19">
      <c r="A19" s="5" t="n">
        <v>13</v>
      </c>
      <c r="B19" s="6" t="inlineStr">
        <is>
          <t>Bolt assembly: 1/4-20 x .500" black flat head socket cap screw with slide-in economy T-nut</t>
        </is>
      </c>
      <c r="C19" s="5" t="inlineStr">
        <is>
          <t>3321</t>
        </is>
      </c>
      <c r="D19" s="7" t="n">
        <v>8</v>
      </c>
      <c r="E19" s="8" t="n">
        <v>0.87</v>
      </c>
      <c r="F19" s="9">
        <f>D19*E19</f>
        <v/>
      </c>
    </row>
    <row r="20">
      <c r="A20" s="5" t="n">
        <v>14</v>
      </c>
      <c r="B20" s="6" t="inlineStr">
        <is>
          <t>10 Series 1" x 1" end cap with push-in fastener</t>
        </is>
      </c>
      <c r="C20" s="5" t="inlineStr">
        <is>
          <t>2015</t>
        </is>
      </c>
      <c r="D20" s="7" t="n">
        <v>6</v>
      </c>
      <c r="E20" s="8" t="n">
        <v>2.02</v>
      </c>
      <c r="F20" s="9">
        <f>D20*E20</f>
        <v/>
      </c>
    </row>
    <row r="21">
      <c r="A21" s="5" t="n">
        <v>15</v>
      </c>
      <c r="B21" s="6" t="inlineStr">
        <is>
          <t>Lite aluminum composite panel, 0.236 in thick, black, cut to 24 x 24 in (4.000 sq ft x $13.83, includes $16.13 cut charge)</t>
        </is>
      </c>
      <c r="C21" s="5" t="inlineStr">
        <is>
          <t>2637</t>
        </is>
      </c>
      <c r="D21" s="7" t="n">
        <v>1</v>
      </c>
      <c r="E21" s="8" t="n">
        <v>71.45</v>
      </c>
      <c r="F21" s="9">
        <f>D21*E21</f>
        <v/>
      </c>
    </row>
    <row r="22">
      <c r="A22" s="5" t="n">
        <v>16</v>
      </c>
      <c r="B22" s="6" t="inlineStr">
        <is>
          <t>Lite aluminum composite panel, 0.236 in thick, black, cut to 13.84 x 24 in (2.307 sq ft x $13.83, includes $16.13 cut charge)</t>
        </is>
      </c>
      <c r="C22" s="5" t="inlineStr">
        <is>
          <t>2637</t>
        </is>
      </c>
      <c r="D22" s="7" t="n">
        <v>1</v>
      </c>
      <c r="E22" s="8" t="n">
        <v>48.04</v>
      </c>
      <c r="F22" s="9">
        <f>D22*E22</f>
        <v/>
      </c>
    </row>
    <row r="23">
      <c r="A23" s="10" t="n"/>
      <c r="B23" s="11" t="inlineStr">
        <is>
          <t>Subtotal (before shipping and tax)</t>
        </is>
      </c>
      <c r="C23" s="10" t="n"/>
      <c r="D23" s="11">
        <f>SUM(D7:D22)</f>
        <v/>
      </c>
      <c r="E23" s="10" t="n"/>
      <c r="F23" s="12">
        <f>SUM(F7:F22)</f>
        <v/>
      </c>
    </row>
    <row r="25">
      <c r="A25" s="13" t="inlineStr">
        <is>
          <t>Notes</t>
        </is>
      </c>
    </row>
    <row r="26">
      <c r="B26" s="14" t="inlineStr">
        <is>
          <t>Shipping and tax are not included above. 80/20's cart estimated UPS Ground shipping at $40.39 and tax at $75.72 (to the account's address on 2026-10-06), for an order total of about $1,337.68.</t>
        </is>
      </c>
    </row>
    <row r="27">
      <c r="B27" s="14" t="inlineStr">
        <is>
          <t>Quantities and cut lengths come from the CAD model of the stand (gantry_cart.py / cart_bom.py).</t>
        </is>
      </c>
    </row>
    <row r="28">
      <c r="B28" s="14" t="inlineStr">
        <is>
          <t>Blue cells are inputs (quantity, unit cost); Extended and Subtotal are formulas.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2026-10-06T21:16:09Z</dcterms:created>
  <dcterms:modified xmlns:dcterms="http://purl.org/dc/terms/" xmlns:xsi="http://www.w3.org/2001/XMLSchema-instance" xsi:type="dcterms:W3CDTF">2026-10-06T21:16:09Z</dcterms:modified>
</cp:coreProperties>
</file>